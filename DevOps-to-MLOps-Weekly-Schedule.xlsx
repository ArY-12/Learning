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Schedule" sheetId="1" state="visible" r:id="rId3"/>
    <sheet name="Summary by Topic" sheetId="2" state="visible" r:id="rId4"/>
    <sheet name="Paid Course Guidance (Max 2)"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<sst xmlns="http://schemas.openxmlformats.org/spreadsheetml/2006/main" count="557" uniqueCount="269">
  <si>
    <t xml:space="preserve">Week #</t>
  </si>
  <si>
    <t xml:space="preserve">Month</t>
  </si>
  <si>
    <t xml:space="preserve">Phase</t>
  </si>
  <si>
    <t xml:space="preserve">Topic</t>
  </si>
  <si>
    <t xml:space="preserve">This Week's Focus</t>
  </si>
  <si>
    <t xml:space="preserve">Est. Hours</t>
  </si>
  <si>
    <t xml:space="preserve">Priority</t>
  </si>
  <si>
    <t xml:space="preserve">Mandatory Deliverable This Week</t>
  </si>
  <si>
    <t xml:space="preserve">Free Resource</t>
  </si>
  <si>
    <t xml:space="preserve">Do/Don't Flag</t>
  </si>
  <si>
    <t xml:space="preserve">Month 1</t>
  </si>
  <si>
    <t xml:space="preserve">Phase 1 - Foundations</t>
  </si>
  <si>
    <t xml:space="preserve">Linux</t>
  </si>
  <si>
    <t xml:space="preserve">Filesystem &amp; navigation, permissions &amp; ownership, users &amp; groups</t>
  </si>
  <si>
    <t xml:space="preserve">High</t>
  </si>
  <si>
    <t xml:space="preserve">-</t>
  </si>
  <si>
    <t xml:space="preserve">Linux Journey (linuxjourney.com)</t>
  </si>
  <si>
    <t xml:space="preserve">Type every command yourself, don't just read</t>
  </si>
  <si>
    <t xml:space="preserve">Process management, systemd, package management</t>
  </si>
  <si>
    <t xml:space="preserve">log-monitor.sh, disk-alert.sh written &amp; tested</t>
  </si>
  <si>
    <t xml:space="preserve">freeCodeCamp Linux Full Course (YouTube)</t>
  </si>
  <si>
    <t xml:space="preserve">Don't chase every ps/top flag - common ones only</t>
  </si>
  <si>
    <t xml:space="preserve">Text processing (grep/awk/sed), shell scripting basics</t>
  </si>
  <si>
    <t xml:space="preserve">user-setup.sh, service-health.sh written &amp; tested</t>
  </si>
  <si>
    <t xml:space="preserve">The Linux Command Line book (linuxcommand.org/tlcl.php)</t>
  </si>
  <si>
    <t xml:space="preserve">Write scripts from blank file, no copy-paste</t>
  </si>
  <si>
    <t xml:space="preserve">Storage/disk, networking basics, SSH, shell scripting advanced</t>
  </si>
  <si>
    <t xml:space="preserve">backup.sh done; all 5 scripts pushed to GitHub</t>
  </si>
  <si>
    <t xml:space="preserve">OverTheWire: Bandit (overthewire.org/wargames/bandit)</t>
  </si>
  <si>
    <t xml:space="preserve">Self-test the 'Done when' checklist cold before moving on</t>
  </si>
  <si>
    <t xml:space="preserve">Buffer/Revision</t>
  </si>
  <si>
    <t xml:space="preserve">Cold-test Linux checklist from memory; write field notes; catch up if behind</t>
  </si>
  <si>
    <t xml:space="preserve">Buffer</t>
  </si>
  <si>
    <t xml:space="preserve">Revisit your own notes/scripts from weeks 1-4</t>
  </si>
  <si>
    <t xml:space="preserve">Lighter week by design - don't skip this rhythm</t>
  </si>
  <si>
    <t xml:space="preserve">Month 2</t>
  </si>
  <si>
    <t xml:space="preserve">Networking</t>
  </si>
  <si>
    <t xml:space="preserve">OSI/TCP-IP model, IP addressing &amp; subnetting</t>
  </si>
  <si>
    <t xml:space="preserve">Practical Networking (YouTube)</t>
  </si>
  <si>
    <t xml:space="preserve">Practice subnetting on paper until automatic</t>
  </si>
  <si>
    <t xml:space="preserve">DNS, TCP/UDP, HTTP/HTTPS, load balancing, firewalls, reverse proxy, VPN concept</t>
  </si>
  <si>
    <t xml:space="preserve">Medium</t>
  </si>
  <si>
    <t xml:space="preserve">Draft of 'browser to GitHub' flow document</t>
  </si>
  <si>
    <t xml:space="preserve">Julia Evans' networking zines (wizardzines.com)</t>
  </si>
  <si>
    <t xml:space="preserve">Skim IPv6 and VPN internals - concept level is enough</t>
  </si>
  <si>
    <t xml:space="preserve">Git</t>
  </si>
  <si>
    <t xml:space="preserve">Core concepts, daily operations, branching &amp; merging</t>
  </si>
  <si>
    <t xml:space="preserve">Pro Git Book (git-scm.com/book)</t>
  </si>
  <si>
    <t xml:space="preserve">Don't over-focus on rare commands like filter-branch</t>
  </si>
  <si>
    <t xml:space="preserve">Undoing things, remote workflows, tags, GitHub-specific</t>
  </si>
  <si>
    <t xml:space="preserve">Practiced wrong-branch fix + accidental-secret-commit fix; flow doc finalized</t>
  </si>
  <si>
    <t xml:space="preserve">Visualizing Git (gitschool.github.io/visualizing-git)</t>
  </si>
  <si>
    <t xml:space="preserve">Give every repo clean history from this point on</t>
  </si>
  <si>
    <t xml:space="preserve">Month 3</t>
  </si>
  <si>
    <t xml:space="preserve">Docker</t>
  </si>
  <si>
    <t xml:space="preserve">Core concepts, image layers/caching, writing Dockerfiles</t>
  </si>
  <si>
    <t xml:space="preserve">Docker official 'Get Started' docs</t>
  </si>
  <si>
    <t xml:space="preserve">Build a multi-stage Dockerfile from scratch yourself, don't template-copy</t>
  </si>
  <si>
    <t xml:space="preserve">Container ops, networking, volumes</t>
  </si>
  <si>
    <t xml:space="preserve">FastAPI service containerized (non-root, &lt;100MB, clean Trivy scan)</t>
  </si>
  <si>
    <t xml:space="preserve">Play with Docker (labs.play-with-docker.com)</t>
  </si>
  <si>
    <t xml:space="preserve">Never run as root 'to get it working'</t>
  </si>
  <si>
    <t xml:space="preserve">Docker Compose, security basics (Trivy)</t>
  </si>
  <si>
    <t xml:space="preserve">Node/React frontend containerized via nginx (&lt;30MB)</t>
  </si>
  <si>
    <t xml:space="preserve">Trivy (github.com/aquasecurity/trivy) + Dive (github.com/wagoodman/dive)</t>
  </si>
  <si>
    <t xml:space="preserve">Run trivy yourself, fix findings, don't just read about it</t>
  </si>
  <si>
    <t xml:space="preserve">Registry operations, full 3-service Compose stack</t>
  </si>
  <si>
    <t xml:space="preserve">Full FastAPI+Postgres+frontend stack running via Compose</t>
  </si>
  <si>
    <t xml:space="preserve">freeCodeCamp Docker Full Course (YouTube)</t>
  </si>
  <si>
    <t xml:space="preserve">Never tag images 'latest' - use semver or git SHA</t>
  </si>
  <si>
    <t xml:space="preserve">Cold-test Linux+Networking+Git+Docker checklists; catch up if behind</t>
  </si>
  <si>
    <t xml:space="preserve">Revisit weeks 1-13 notes</t>
  </si>
  <si>
    <t xml:space="preserve">This is your last buffer before the heaviest topic (K8s)</t>
  </si>
  <si>
    <t xml:space="preserve">Month 4</t>
  </si>
  <si>
    <t xml:space="preserve">Kubernetes</t>
  </si>
  <si>
    <t xml:space="preserve">Architecture (control plane/node components) + OpenShift-to-K8s mapping table</t>
  </si>
  <si>
    <t xml:space="preserve">Kubernetes official docs (concepts section) -- OPTIONAL PAID COURSE STARTS HERE (see notes below)</t>
  </si>
  <si>
    <t xml:space="preserve">Memorize the OpenShift mapping table - bring it to interviews</t>
  </si>
  <si>
    <t xml:space="preserve">Core workload objects: Pod, Deployment, StatefulSet, DaemonSet, Job/CronJob</t>
  </si>
  <si>
    <t xml:space="preserve">KodeKloud free labs</t>
  </si>
  <si>
    <t xml:space="preserve">Hand-write manifests, don't rely on generators</t>
  </si>
  <si>
    <t xml:space="preserve">Networking: Services, CoreDNS, Ingress, NetworkPolicies</t>
  </si>
  <si>
    <t xml:space="preserve">Kubernetes the Hard Way (github.com/kelseyhightower)</t>
  </si>
  <si>
    <t xml:space="preserve">Config &amp; secrets, storage (PV/PVC)</t>
  </si>
  <si>
    <t xml:space="preserve">CNCF K8s curriculum (github.com/cncf/curriculum)</t>
  </si>
  <si>
    <t xml:space="preserve">Remember: base64 is not encryption</t>
  </si>
  <si>
    <t xml:space="preserve">Month 5</t>
  </si>
  <si>
    <t xml:space="preserve">Security (RBAC/ServiceAccounts/SecurityContext), scheduling &amp; autoscaling</t>
  </si>
  <si>
    <t xml:space="preserve">killer.sh (free tier)</t>
  </si>
  <si>
    <t xml:space="preserve">Helm: chart structure &amp; templating</t>
  </si>
  <si>
    <t xml:space="preserve">Helm chart written from scratch with dev/prod value overrides</t>
  </si>
  <si>
    <t xml:space="preserve">kind docs (kind.sigs.k8s.io)</t>
  </si>
  <si>
    <t xml:space="preserve">Write your own chart - don't just helm-install someone else's</t>
  </si>
  <si>
    <t xml:space="preserve">Troubleshooting deep dive + full app deployment on K8s</t>
  </si>
  <si>
    <t xml:space="preserve">3-service app deployed with RBAC + NetworkPolicy; 3 deliberate breaks documented</t>
  </si>
  <si>
    <t xml:space="preserve">Use your paid course's troubleshooting section if purchased, else killer.sh scenarios</t>
  </si>
  <si>
    <t xml:space="preserve">These 3 writeups become your 'debugged a production issue' interview answers</t>
  </si>
  <si>
    <t xml:space="preserve">Cold-test full K8s checklist; catch up if behind</t>
  </si>
  <si>
    <t xml:space="preserve">Revisit weeks 15-21 notes</t>
  </si>
  <si>
    <t xml:space="preserve">Don't let K8s bleed past this point - tighten scope if needed</t>
  </si>
  <si>
    <t xml:space="preserve">Month 6</t>
  </si>
  <si>
    <t xml:space="preserve">Phase 2 - Engineering Depth</t>
  </si>
  <si>
    <t xml:space="preserve">Python</t>
  </si>
  <si>
    <t xml:space="preserve">Foundations, scripting patterns (argparse/subprocess/logging)</t>
  </si>
  <si>
    <t xml:space="preserve">Automate the Boring Stuff with Python (automatetheboringstuff.com)</t>
  </si>
  <si>
    <t xml:space="preserve">Every script needs argparse CLI + logging + at least one test</t>
  </si>
  <si>
    <t xml:space="preserve">Working with APIs (requests), boto3 basics</t>
  </si>
  <si>
    <t xml:space="preserve">Real Python (realpython.com)</t>
  </si>
  <si>
    <t xml:space="preserve">Prefer IAM roles over access keys in every example</t>
  </si>
  <si>
    <t xml:space="preserve">FastAPI basics, testing (pytest, mocking)</t>
  </si>
  <si>
    <t xml:space="preserve">FastAPI official docs (tutorial section)</t>
  </si>
  <si>
    <t xml:space="preserve">This is closer to real interview prep than DSA - practice writing clean scripts blind</t>
  </si>
  <si>
    <t xml:space="preserve">Build all 3 infra automation tools</t>
  </si>
  <si>
    <t xml:space="preserve">K8s namespace reporter, S3 cleanup tool, health-check poller - all done</t>
  </si>
  <si>
    <t xml:space="preserve">boto3 official documentation</t>
  </si>
  <si>
    <t xml:space="preserve">Start light GCC networking on LinkedIn from this week (3-5 connections/month)</t>
  </si>
  <si>
    <t xml:space="preserve">Month 7</t>
  </si>
  <si>
    <t xml:space="preserve">CI/CD &amp; GitOps</t>
  </si>
  <si>
    <t xml:space="preserve">Core concepts, GitHub Actions basics (triggers/runners/secrets)</t>
  </si>
  <si>
    <t xml:space="preserve">GitHub Actions official docs</t>
  </si>
  <si>
    <t xml:space="preserve">GitHub Actions advanced (matrix/caching/artifacts), pipeline design patterns</t>
  </si>
  <si>
    <t xml:space="preserve">TechWorld with Nana (YouTube) - CI/CD Pipeline GitHub Actions</t>
  </si>
  <si>
    <t xml:space="preserve">ArgoCD architecture, Application manifests, sync policies</t>
  </si>
  <si>
    <t xml:space="preserve">ArgoCD official docs + install guide</t>
  </si>
  <si>
    <t xml:space="preserve">Build full CI+CD pipeline end-to-end, diagram it</t>
  </si>
  <si>
    <t xml:space="preserve">Full pipeline live (push to running pods via ArgoCD) + architecture diagram</t>
  </si>
  <si>
    <t xml:space="preserve">draw.io / Excalidraw for the diagram</t>
  </si>
  <si>
    <t xml:space="preserve">Practice narrating this pipeline out loud, unscripted, 15 min</t>
  </si>
  <si>
    <t xml:space="preserve">Cold-test CI/CD+K8s checklists; catch up if behind</t>
  </si>
  <si>
    <t xml:space="preserve">Revisit weeks 27-30 notes</t>
  </si>
  <si>
    <t xml:space="preserve">Month 8</t>
  </si>
  <si>
    <t xml:space="preserve">Terraform</t>
  </si>
  <si>
    <t xml:space="preserve">Core concepts, HCL fundamentals</t>
  </si>
  <si>
    <t xml:space="preserve">Terraform official docs (Learn section)</t>
  </si>
  <si>
    <t xml:space="preserve">State management, workflow (init/plan/apply/destroy)</t>
  </si>
  <si>
    <t xml:space="preserve">freeCodeCamp Terraform course (YouTube)</t>
  </si>
  <si>
    <t xml:space="preserve">Never commit tfstate to Git</t>
  </si>
  <si>
    <t xml:space="preserve">Modules, LocalStack setup</t>
  </si>
  <si>
    <t xml:space="preserve">LocalStack docs (docs.localstack.cloud)</t>
  </si>
  <si>
    <t xml:space="preserve">Write your own module - don't just consume registry modules</t>
  </si>
  <si>
    <t xml:space="preserve">Real AWS free-tier resources, tfsec, wire into CI</t>
  </si>
  <si>
    <t xml:space="preserve">VPC+compute module, remote state in S3, tfsec clean, plan-step in CI</t>
  </si>
  <si>
    <t xml:space="preserve">tfsec (github.com/aquasecurity/tfsec)</t>
  </si>
  <si>
    <t xml:space="preserve">Avoid EKS/NAT Gateway/RDS while practicing - not free-tier</t>
  </si>
  <si>
    <t xml:space="preserve">Month 9</t>
  </si>
  <si>
    <t xml:space="preserve">Phase 3 - Cloud + MLOps</t>
  </si>
  <si>
    <t xml:space="preserve">AWS Core</t>
  </si>
  <si>
    <t xml:space="preserve">IAM, VPC networking</t>
  </si>
  <si>
    <t xml:space="preserve">AWS Skill Builder (skillbuilder.aws)</t>
  </si>
  <si>
    <t xml:space="preserve">Set a $1-5 budget alarm before touching a real AWS account</t>
  </si>
  <si>
    <t xml:space="preserve">EC2, S3, EKS concepts</t>
  </si>
  <si>
    <t xml:space="preserve">AWS Free Tier page (aws.amazon.com/free)</t>
  </si>
  <si>
    <t xml:space="preserve">Don't try to 'learn all of AWS' - stick to this list only</t>
  </si>
  <si>
    <t xml:space="preserve">Monitoring &amp; Observability</t>
  </si>
  <si>
    <t xml:space="preserve">CloudWatch, cost management + Prometheus architecture/PromQL</t>
  </si>
  <si>
    <t xml:space="preserve">Prometheus official docs</t>
  </si>
  <si>
    <t xml:space="preserve">Grafana + Loki/Fluent Bit, build full observability stack</t>
  </si>
  <si>
    <t xml:space="preserve">VPC+EC2+S3 via Terraform; Grafana dashboard + alert rule + Loki logging live</t>
  </si>
  <si>
    <t xml:space="preserve">Grafana official docs + kube-prometheus-stack GitHub</t>
  </si>
  <si>
    <t xml:space="preserve">Build the dashboard yourself, don't just import a community one</t>
  </si>
  <si>
    <t xml:space="preserve">Cold-test AWS+Monitoring+Terraform checklists; catch up if behind</t>
  </si>
  <si>
    <t xml:space="preserve">Revisit weeks 32-39 notes</t>
  </si>
  <si>
    <t xml:space="preserve">Month 10</t>
  </si>
  <si>
    <t xml:space="preserve">MLOps</t>
  </si>
  <si>
    <t xml:space="preserve">ML lifecycle vocabulary, MLflow basics</t>
  </si>
  <si>
    <t xml:space="preserve">MLflow official docs -- OPTIONAL PAID COURSE STARTS HERE (see notes below)</t>
  </si>
  <si>
    <t xml:space="preserve">Pick a small boring dataset (Titanic/UCI Heart Disease) - infra quality matters, not model accuracy</t>
  </si>
  <si>
    <t xml:space="preserve">MLflow registry + DVC</t>
  </si>
  <si>
    <t xml:space="preserve">Dataset versioned in DVC; 3 model runs logged &amp; compared in MLflow</t>
  </si>
  <si>
    <t xml:space="preserve">DVC official docs (dvc.org/doc)</t>
  </si>
  <si>
    <t xml:space="preserve">Model serving (FastAPI server for registered model)</t>
  </si>
  <si>
    <t xml:space="preserve">/predict, /health, /metrics endpoints working</t>
  </si>
  <si>
    <t xml:space="preserve">Made With ML (madewithml.com)</t>
  </si>
  <si>
    <t xml:space="preserve">Containerize + deploy to K8s (HPA/Ingress)</t>
  </si>
  <si>
    <t xml:space="preserve">Reuse your own Topic 4/5 Docker+K8s notes</t>
  </si>
  <si>
    <t xml:space="preserve">Month 11</t>
  </si>
  <si>
    <t xml:space="preserve">Airflow DAG (4-stage pipeline)</t>
  </si>
  <si>
    <t xml:space="preserve">Working 4-stage DAG: download-preprocess-inference-write results</t>
  </si>
  <si>
    <t xml:space="preserve">Airflow official docs</t>
  </si>
  <si>
    <t xml:space="preserve">Monitoring integration (Prometheus/Grafana/Evidently AI drift report)</t>
  </si>
  <si>
    <t xml:space="preserve">Evidently AI docs (docs.evidentlyai.com)</t>
  </si>
  <si>
    <t xml:space="preserve">Reuse your existing Prometheus/Grafana stack, don't build a parallel one</t>
  </si>
  <si>
    <t xml:space="preserve">Full CI/CD wiring for MLOps pipeline; start mock interviews</t>
  </si>
  <si>
    <t xml:space="preserve">Flagship fully wired + documented + debugging writeup; first mock interview done</t>
  </si>
  <si>
    <t xml:space="preserve">Full Stack Deep Learning (fullstackdeeplearning.com)</t>
  </si>
  <si>
    <t xml:space="preserve">This is your flagship - never compress this phase, even if behind schedule</t>
  </si>
  <si>
    <t xml:space="preserve">Polish flagship, catch up if behind, cold-test MLOps checklist</t>
  </si>
  <si>
    <t xml:space="preserve">Revisit weeks 41-47 notes</t>
  </si>
  <si>
    <t xml:space="preserve">Month 12</t>
  </si>
  <si>
    <t xml:space="preserve">AI Infrastructure</t>
  </si>
  <si>
    <t xml:space="preserve">GPU scheduling concepts, LLM serving fundamentals (tokens/sec, TTFT, KV cache)</t>
  </si>
  <si>
    <t xml:space="preserve">Databricks blog on LLM inference performance engineering</t>
  </si>
  <si>
    <t xml:space="preserve">No GPU hardware needed - conceptual fluency is the bar</t>
  </si>
  <si>
    <t xml:space="preserve">Run local model via vLLM/Ollama, set up Qdrant</t>
  </si>
  <si>
    <t xml:space="preserve">vLLM docs (docs.vllm.ai)</t>
  </si>
  <si>
    <t xml:space="preserve">Build mini RAG query pipeline</t>
  </si>
  <si>
    <t xml:space="preserve">Qdrant docs (qdrant.tech/documentation)</t>
  </si>
  <si>
    <t xml:space="preserve">Containerize RAG, add Prometheus metrics; cost-optimization &amp; AI platform concepts</t>
  </si>
  <si>
    <t xml:space="preserve">Mini RAG system live end-to-end with /query endpoint</t>
  </si>
  <si>
    <t xml:space="preserve">pgvector GitHub (github.com/pgvector/pgvector)</t>
  </si>
  <si>
    <t xml:space="preserve">Skim quantization math/ANN internals - concept level only</t>
  </si>
  <si>
    <t xml:space="preserve">Cold-test MLOps+AI Infra checklists; catch up if behind</t>
  </si>
  <si>
    <t xml:space="preserve">Revisit weeks 41-52 notes</t>
  </si>
  <si>
    <t xml:space="preserve">Month 13</t>
  </si>
  <si>
    <t xml:space="preserve">Phase 4 - Job-Ready Sprint</t>
  </si>
  <si>
    <t xml:space="preserve">Portfolio &amp; Job Prep</t>
  </si>
  <si>
    <t xml:space="preserve">Clean up all repo READMEs to one consistent structure; GitHub profile README</t>
  </si>
  <si>
    <t xml:space="preserve">draw.io / Excalidraw for diagrams</t>
  </si>
  <si>
    <t xml:space="preserve">Problem to Architecture(diagram) to How to run to What I'd do at scale, every repo</t>
  </si>
  <si>
    <t xml:space="preserve">Resume (two-section honest format), LinkedIn About/Featured section</t>
  </si>
  <si>
    <t xml:space="preserve">Resume v1 done; LinkedIn updated</t>
  </si>
  <si>
    <t xml:space="preserve">Never fabricate scope - reframe honestly instead</t>
  </si>
  <si>
    <t xml:space="preserve">Begin soft-applications; push GCC networking/referrals</t>
  </si>
  <si>
    <t xml:space="preserve">First applications submitted</t>
  </si>
  <si>
    <t xml:space="preserve">LinkedIn / Naukri direct applications</t>
  </si>
  <si>
    <t xml:space="preserve">Start now, not Month 14 - GCC pipelines run 4-8 weeks</t>
  </si>
  <si>
    <t xml:space="preserve">Weekly mock interviews; drill technical Q&amp;A (CrashLoopBackOff, ConfigMap vs Secret, TF state, data drift)</t>
  </si>
  <si>
    <t xml:space="preserve">Record yourself narrating your own projects, timed</t>
  </si>
  <si>
    <t xml:space="preserve">Month 14</t>
  </si>
  <si>
    <t xml:space="preserve">GCC-scale system design practice (CI/CD system, model-serving platform, monitoring system)</t>
  </si>
  <si>
    <t xml:space="preserve">Your own Topic 7/11 projects as worked examples</t>
  </si>
  <si>
    <t xml:space="preserve">Skip FAANG-scale design questions (design Twitter etc) - not the right calibration</t>
  </si>
  <si>
    <t xml:space="preserve">Behavioral prep; land one open-source PR (docs fix counts)</t>
  </si>
  <si>
    <t xml:space="preserve">One merged PR to a real OSS project</t>
  </si>
  <si>
    <t xml:space="preserve">kubernetes / argo-cd / mlflow / dvc GitHub issues (good-first-issue label)</t>
  </si>
  <si>
    <t xml:space="preserve">Final polish, active interviewing, follow-ups</t>
  </si>
  <si>
    <t xml:space="preserve">Total Weeks</t>
  </si>
  <si>
    <t xml:space="preserve">Total Est. Hours</t>
  </si>
  <si>
    <t xml:space="preserve">Priority Level</t>
  </si>
  <si>
    <t xml:space="preserve">Mandatory Deliverable(s)</t>
  </si>
  <si>
    <t xml:space="preserve">High (but time-boxed - don't over-invest)</t>
  </si>
  <si>
    <t xml:space="preserve">5 bash scripts on GitHub</t>
  </si>
  <si>
    <t xml:space="preserve">Structural - protects the whole schedule</t>
  </si>
  <si>
    <t xml:space="preserve">Revision + catch-up (no new deliverable)</t>
  </si>
  <si>
    <t xml:space="preserve">High core / Medium-Skim on IPv6, VPN internals</t>
  </si>
  <si>
    <t xml:space="preserve">Browser-to-GitHub flow document with diagram</t>
  </si>
  <si>
    <t xml:space="preserve">Clean history + recovered wrong-branch/secret-commit mistakes</t>
  </si>
  <si>
    <t xml:space="preserve">3 containerized apps + full Compose stack</t>
  </si>
  <si>
    <t xml:space="preserve">High - heaviest single topic</t>
  </si>
  <si>
    <t xml:space="preserve">Full K8s deployment + Helm chart + 3 debugged failures</t>
  </si>
  <si>
    <t xml:space="preserve">3 infra automation tools with tests</t>
  </si>
  <si>
    <t xml:space="preserve">High - portfolio centerpiece</t>
  </si>
  <si>
    <t xml:space="preserve">Full CI/CD pipeline with ArgoCD, diagrammed</t>
  </si>
  <si>
    <t xml:space="preserve">High core / Medium on registry modules</t>
  </si>
  <si>
    <t xml:space="preserve">VPC+compute module, remote state, tfsec clean, in CI</t>
  </si>
  <si>
    <t xml:space="preserve">Medium-High - only the listed services, not 'all of AWS'</t>
  </si>
  <si>
    <t xml:space="preserve">VPC+EC2+S3 backend via Terraform</t>
  </si>
  <si>
    <t xml:space="preserve">Full Prometheus+Grafana+Loki stack</t>
  </si>
  <si>
    <t xml:space="preserve">Highest - never compress this phase</t>
  </si>
  <si>
    <t xml:space="preserve">End-to-end MLOps flagship pipeline</t>
  </si>
  <si>
    <t xml:space="preserve">Medium-High core / Skim on quantization math, ANN internals</t>
  </si>
  <si>
    <t xml:space="preserve">Mini RAG system with vector DB + local LLM</t>
  </si>
  <si>
    <t xml:space="preserve">Resume, portfolio, active applications</t>
  </si>
  <si>
    <t xml:space="preserve">TOTAL</t>
  </si>
  <si>
    <t xml:space="preserve">When to Buy</t>
  </si>
  <si>
    <t xml:space="preserve">Recommended Course</t>
  </si>
  <si>
    <t xml:space="preserve">Instructor</t>
  </si>
  <si>
    <t xml:space="preserve">Why This One</t>
  </si>
  <si>
    <t xml:space="preserve">Budget Note</t>
  </si>
  <si>
    <t xml:space="preserve">Start of Week 15 (Month 4, right before Kubernetes)</t>
  </si>
  <si>
    <t xml:space="preserve">"Kubernetes for the Absolute Beginners – Hands-on" (and/or its CKA-track follow-up if you want more depth)</t>
  </si>
  <si>
    <t xml:space="preserve">Mumshad Mannambeth</t>
  </si>
  <si>
    <t xml:space="preserve">This is the single most consistently recommended beginner K8s course across multiple independent reviews. It builds understanding progressively instead of just listing commands, so you can read raw K8s docs confidently afterward. Kubernetes is your heaviest, highest-stakes topic (2 full months) - this is the one place a structured paid course earns its price.</t>
  </si>
  <si>
    <t xml:space="preserve">Typically $9.99-$14.99 on Udemy sale - wait for a sale, never pay full price</t>
  </si>
  <si>
    <t xml:space="preserve">Start of Week 41 (Month 10, right before MLOps)</t>
  </si>
  <si>
    <t xml:space="preserve">"MLOps Zero to Hero" (or the similarly-scoped "Complete MLOps Bootcamp")</t>
  </si>
  <si>
    <t xml:space="preserve">Abhishek Veeramalla</t>
  </si>
  <si>
    <t xml:space="preserve">Explicitly positioned as a DevOps-to-MLOps transition course, covering DVC, MLflow, Docker, Kubernetes, SageMaker, and Kubeflow in one coherent narrative - exactly the scattered set of free docs this roadmap otherwise asks you to stitch together yourself. Worth it because MLOps is your flagship differentiator and a single structured walkthrough saves real time versus assembling it from 5 separate free sources.</t>
  </si>
  <si>
    <t xml:space="preserve">Note: Course names/instructors/prices change on Udemy over time and ratings can shift - before buying, spend 5 minutes checking current reviews and the syllabus against this roadmap's checklist for that topic. Stick to a hard cap of 2 paid courses total for this whole 14-month plan - free resources are sufficient for every other topic, and more purchases add cost without adding proportional value at this stage.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</si>
</sst>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i val="true"/>
      <sz val="1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8CBAD"/>
        <bgColor rgb="FFFFE699"/>
      </patternFill>
    </fill>
    <fill>
      <patternFill patternType="solid">
        <fgColor rgb="FFD9D9D9"/>
        <bgColor rgb="FFF8CBAD"/>
      </patternFill>
    </fill>
    <fill>
      <patternFill patternType="solid">
        <fgColor rgb="FFFFE699"/>
        <bgColor rgb="FFF8CBA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4" min="3" style="0" width="22"/>
    <col collapsed="false" customWidth="true" hidden="false" outlineLevel="0" max="5" min="5" style="0" width="40"/>
    <col collapsed="false" customWidth="true" hidden="false" outlineLevel="0" max="7" min="6" style="0" width="10"/>
    <col collapsed="false" customWidth="true" hidden="false" outlineLevel="0" max="8" min="8" style="0" width="38"/>
    <col collapsed="false" customWidth="true" hidden="false" outlineLevel="0" max="9" min="9" style="0" width="36"/>
    <col collapsed="false" customWidth="true" hidden="false" outlineLevel="0" max="10" min="10" style="0" width="3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23.85" hidden="false" customHeight="false" outlineLevel="0" collapsed="false">
      <c r="A2" s="2" t="n">
        <v>1</v>
      </c>
      <c r="B2" s="2" t="s">
        <v>10</v>
      </c>
      <c r="C2" s="2" t="s">
        <v>11</v>
      </c>
      <c r="D2" s="2" t="s">
        <v>12</v>
      </c>
      <c r="E2" s="2" t="s">
        <v>13</v>
      </c>
      <c r="F2" s="2" t="n">
        <v>11</v>
      </c>
      <c r="G2" s="3" t="s">
        <v>14</v>
      </c>
      <c r="H2" s="2" t="s">
        <v>15</v>
      </c>
      <c r="I2" s="2" t="s">
        <v>16</v>
      </c>
      <c r="J2" s="2" t="s">
        <v>17</v>
      </c>
    </row>
    <row r="3" customFormat="false" ht="23.85" hidden="false" customHeight="false" outlineLevel="0" collapsed="false">
      <c r="A3" s="2" t="n">
        <v>2</v>
      </c>
      <c r="B3" s="2" t="s">
        <v>10</v>
      </c>
      <c r="C3" s="2" t="s">
        <v>11</v>
      </c>
      <c r="D3" s="2" t="s">
        <v>12</v>
      </c>
      <c r="E3" s="2" t="s">
        <v>18</v>
      </c>
      <c r="F3" s="2" t="n">
        <v>11</v>
      </c>
      <c r="G3" s="3" t="s">
        <v>14</v>
      </c>
      <c r="H3" s="2" t="s">
        <v>19</v>
      </c>
      <c r="I3" s="2" t="s">
        <v>20</v>
      </c>
      <c r="J3" s="2" t="s">
        <v>21</v>
      </c>
    </row>
    <row r="4" customFormat="false" ht="23.85" hidden="false" customHeight="false" outlineLevel="0" collapsed="false">
      <c r="A4" s="2" t="n">
        <v>3</v>
      </c>
      <c r="B4" s="2" t="s">
        <v>10</v>
      </c>
      <c r="C4" s="2" t="s">
        <v>11</v>
      </c>
      <c r="D4" s="2" t="s">
        <v>12</v>
      </c>
      <c r="E4" s="2" t="s">
        <v>22</v>
      </c>
      <c r="F4" s="2" t="n">
        <v>11</v>
      </c>
      <c r="G4" s="3" t="s">
        <v>14</v>
      </c>
      <c r="H4" s="2" t="s">
        <v>23</v>
      </c>
      <c r="I4" s="2" t="s">
        <v>24</v>
      </c>
      <c r="J4" s="2" t="s">
        <v>25</v>
      </c>
    </row>
    <row r="5" customFormat="false" ht="23.85" hidden="false" customHeight="false" outlineLevel="0" collapsed="false">
      <c r="A5" s="2" t="n">
        <v>4</v>
      </c>
      <c r="B5" s="2" t="s">
        <v>10</v>
      </c>
      <c r="C5" s="2" t="s">
        <v>11</v>
      </c>
      <c r="D5" s="2" t="s">
        <v>12</v>
      </c>
      <c r="E5" s="2" t="s">
        <v>26</v>
      </c>
      <c r="F5" s="2" t="n">
        <v>11</v>
      </c>
      <c r="G5" s="3" t="s">
        <v>14</v>
      </c>
      <c r="H5" s="2" t="s">
        <v>27</v>
      </c>
      <c r="I5" s="2" t="s">
        <v>28</v>
      </c>
      <c r="J5" s="2" t="s">
        <v>29</v>
      </c>
    </row>
    <row r="6" customFormat="false" ht="23.85" hidden="false" customHeight="false" outlineLevel="0" collapsed="false">
      <c r="A6" s="2" t="n">
        <v>5</v>
      </c>
      <c r="B6" s="2" t="s">
        <v>10</v>
      </c>
      <c r="C6" s="2" t="s">
        <v>11</v>
      </c>
      <c r="D6" s="2" t="s">
        <v>30</v>
      </c>
      <c r="E6" s="2" t="s">
        <v>31</v>
      </c>
      <c r="F6" s="2" t="n">
        <v>7</v>
      </c>
      <c r="G6" s="4" t="s">
        <v>32</v>
      </c>
      <c r="H6" s="2" t="s">
        <v>15</v>
      </c>
      <c r="I6" s="2" t="s">
        <v>33</v>
      </c>
      <c r="J6" s="2" t="s">
        <v>34</v>
      </c>
    </row>
    <row r="7" customFormat="false" ht="23.85" hidden="false" customHeight="false" outlineLevel="0" collapsed="false">
      <c r="A7" s="2" t="n">
        <v>6</v>
      </c>
      <c r="B7" s="2" t="s">
        <v>35</v>
      </c>
      <c r="C7" s="2" t="s">
        <v>11</v>
      </c>
      <c r="D7" s="2" t="s">
        <v>36</v>
      </c>
      <c r="E7" s="2" t="s">
        <v>37</v>
      </c>
      <c r="F7" s="2" t="n">
        <v>10</v>
      </c>
      <c r="G7" s="3" t="s">
        <v>14</v>
      </c>
      <c r="H7" s="2" t="s">
        <v>15</v>
      </c>
      <c r="I7" s="2" t="s">
        <v>38</v>
      </c>
      <c r="J7" s="2" t="s">
        <v>39</v>
      </c>
    </row>
    <row r="8" customFormat="false" ht="23.85" hidden="false" customHeight="false" outlineLevel="0" collapsed="false">
      <c r="A8" s="2" t="n">
        <v>7</v>
      </c>
      <c r="B8" s="2" t="s">
        <v>35</v>
      </c>
      <c r="C8" s="2" t="s">
        <v>11</v>
      </c>
      <c r="D8" s="2" t="s">
        <v>36</v>
      </c>
      <c r="E8" s="2" t="s">
        <v>40</v>
      </c>
      <c r="F8" s="2" t="n">
        <v>11</v>
      </c>
      <c r="G8" s="5" t="s">
        <v>41</v>
      </c>
      <c r="H8" s="2" t="s">
        <v>42</v>
      </c>
      <c r="I8" s="2" t="s">
        <v>43</v>
      </c>
      <c r="J8" s="2" t="s">
        <v>44</v>
      </c>
    </row>
    <row r="9" customFormat="false" ht="23.85" hidden="false" customHeight="false" outlineLevel="0" collapsed="false">
      <c r="A9" s="2" t="n">
        <v>8</v>
      </c>
      <c r="B9" s="2" t="s">
        <v>35</v>
      </c>
      <c r="C9" s="2" t="s">
        <v>11</v>
      </c>
      <c r="D9" s="2" t="s">
        <v>45</v>
      </c>
      <c r="E9" s="2" t="s">
        <v>46</v>
      </c>
      <c r="F9" s="2" t="n">
        <v>10</v>
      </c>
      <c r="G9" s="3" t="s">
        <v>14</v>
      </c>
      <c r="H9" s="2" t="s">
        <v>15</v>
      </c>
      <c r="I9" s="2" t="s">
        <v>47</v>
      </c>
      <c r="J9" s="2" t="s">
        <v>48</v>
      </c>
    </row>
    <row r="10" customFormat="false" ht="23.85" hidden="false" customHeight="false" outlineLevel="0" collapsed="false">
      <c r="A10" s="2" t="n">
        <v>9</v>
      </c>
      <c r="B10" s="2" t="s">
        <v>35</v>
      </c>
      <c r="C10" s="2" t="s">
        <v>11</v>
      </c>
      <c r="D10" s="2" t="s">
        <v>45</v>
      </c>
      <c r="E10" s="2" t="s">
        <v>49</v>
      </c>
      <c r="F10" s="2" t="n">
        <v>10</v>
      </c>
      <c r="G10" s="3" t="s">
        <v>14</v>
      </c>
      <c r="H10" s="2" t="s">
        <v>50</v>
      </c>
      <c r="I10" s="2" t="s">
        <v>51</v>
      </c>
      <c r="J10" s="2" t="s">
        <v>52</v>
      </c>
    </row>
    <row r="11" customFormat="false" ht="23.85" hidden="false" customHeight="false" outlineLevel="0" collapsed="false">
      <c r="A11" s="2" t="n">
        <v>10</v>
      </c>
      <c r="B11" s="2" t="s">
        <v>53</v>
      </c>
      <c r="C11" s="2" t="s">
        <v>11</v>
      </c>
      <c r="D11" s="2" t="s">
        <v>54</v>
      </c>
      <c r="E11" s="2" t="s">
        <v>55</v>
      </c>
      <c r="F11" s="2" t="n">
        <v>11</v>
      </c>
      <c r="G11" s="3" t="s">
        <v>14</v>
      </c>
      <c r="H11" s="2" t="s">
        <v>15</v>
      </c>
      <c r="I11" s="2" t="s">
        <v>56</v>
      </c>
      <c r="J11" s="2" t="s">
        <v>57</v>
      </c>
    </row>
    <row r="12" customFormat="false" ht="23.85" hidden="false" customHeight="false" outlineLevel="0" collapsed="false">
      <c r="A12" s="2" t="n">
        <v>11</v>
      </c>
      <c r="B12" s="2" t="s">
        <v>53</v>
      </c>
      <c r="C12" s="2" t="s">
        <v>11</v>
      </c>
      <c r="D12" s="2" t="s">
        <v>54</v>
      </c>
      <c r="E12" s="2" t="s">
        <v>58</v>
      </c>
      <c r="F12" s="2" t="n">
        <v>11</v>
      </c>
      <c r="G12" s="3" t="s">
        <v>14</v>
      </c>
      <c r="H12" s="2" t="s">
        <v>59</v>
      </c>
      <c r="I12" s="2" t="s">
        <v>60</v>
      </c>
      <c r="J12" s="2" t="s">
        <v>61</v>
      </c>
    </row>
    <row r="13" customFormat="false" ht="23.85" hidden="false" customHeight="false" outlineLevel="0" collapsed="false">
      <c r="A13" s="2" t="n">
        <v>12</v>
      </c>
      <c r="B13" s="2" t="s">
        <v>53</v>
      </c>
      <c r="C13" s="2" t="s">
        <v>11</v>
      </c>
      <c r="D13" s="2" t="s">
        <v>54</v>
      </c>
      <c r="E13" s="2" t="s">
        <v>62</v>
      </c>
      <c r="F13" s="2" t="n">
        <v>11</v>
      </c>
      <c r="G13" s="3" t="s">
        <v>14</v>
      </c>
      <c r="H13" s="2" t="s">
        <v>63</v>
      </c>
      <c r="I13" s="2" t="s">
        <v>64</v>
      </c>
      <c r="J13" s="2" t="s">
        <v>65</v>
      </c>
    </row>
    <row r="14" customFormat="false" ht="23.85" hidden="false" customHeight="false" outlineLevel="0" collapsed="false">
      <c r="A14" s="2" t="n">
        <v>13</v>
      </c>
      <c r="B14" s="2" t="s">
        <v>53</v>
      </c>
      <c r="C14" s="2" t="s">
        <v>11</v>
      </c>
      <c r="D14" s="2" t="s">
        <v>54</v>
      </c>
      <c r="E14" s="2" t="s">
        <v>66</v>
      </c>
      <c r="F14" s="2" t="n">
        <v>11</v>
      </c>
      <c r="G14" s="3" t="s">
        <v>14</v>
      </c>
      <c r="H14" s="2" t="s">
        <v>67</v>
      </c>
      <c r="I14" s="2" t="s">
        <v>68</v>
      </c>
      <c r="J14" s="2" t="s">
        <v>69</v>
      </c>
    </row>
    <row r="15" customFormat="false" ht="23.85" hidden="false" customHeight="false" outlineLevel="0" collapsed="false">
      <c r="A15" s="2" t="n">
        <v>14</v>
      </c>
      <c r="B15" s="2" t="s">
        <v>53</v>
      </c>
      <c r="C15" s="2" t="s">
        <v>11</v>
      </c>
      <c r="D15" s="2" t="s">
        <v>30</v>
      </c>
      <c r="E15" s="2" t="s">
        <v>70</v>
      </c>
      <c r="F15" s="2" t="n">
        <v>7</v>
      </c>
      <c r="G15" s="4" t="s">
        <v>32</v>
      </c>
      <c r="H15" s="2" t="s">
        <v>15</v>
      </c>
      <c r="I15" s="2" t="s">
        <v>71</v>
      </c>
      <c r="J15" s="2" t="s">
        <v>72</v>
      </c>
    </row>
    <row r="16" customFormat="false" ht="35.05" hidden="false" customHeight="false" outlineLevel="0" collapsed="false">
      <c r="A16" s="2" t="n">
        <v>15</v>
      </c>
      <c r="B16" s="2" t="s">
        <v>73</v>
      </c>
      <c r="C16" s="2" t="s">
        <v>11</v>
      </c>
      <c r="D16" s="2" t="s">
        <v>74</v>
      </c>
      <c r="E16" s="2" t="s">
        <v>75</v>
      </c>
      <c r="F16" s="2" t="n">
        <v>11</v>
      </c>
      <c r="G16" s="3" t="s">
        <v>14</v>
      </c>
      <c r="H16" s="2" t="s">
        <v>15</v>
      </c>
      <c r="I16" s="2" t="s">
        <v>76</v>
      </c>
      <c r="J16" s="2" t="s">
        <v>77</v>
      </c>
    </row>
    <row r="17" customFormat="false" ht="23.85" hidden="false" customHeight="false" outlineLevel="0" collapsed="false">
      <c r="A17" s="2" t="n">
        <v>16</v>
      </c>
      <c r="B17" s="2" t="s">
        <v>73</v>
      </c>
      <c r="C17" s="2" t="s">
        <v>11</v>
      </c>
      <c r="D17" s="2" t="s">
        <v>74</v>
      </c>
      <c r="E17" s="2" t="s">
        <v>78</v>
      </c>
      <c r="F17" s="2" t="n">
        <v>11</v>
      </c>
      <c r="G17" s="3" t="s">
        <v>14</v>
      </c>
      <c r="H17" s="2" t="s">
        <v>15</v>
      </c>
      <c r="I17" s="2" t="s">
        <v>79</v>
      </c>
      <c r="J17" s="2" t="s">
        <v>80</v>
      </c>
    </row>
    <row r="18" customFormat="false" ht="23.85" hidden="false" customHeight="false" outlineLevel="0" collapsed="false">
      <c r="A18" s="2" t="n">
        <v>17</v>
      </c>
      <c r="B18" s="2" t="s">
        <v>73</v>
      </c>
      <c r="C18" s="2" t="s">
        <v>11</v>
      </c>
      <c r="D18" s="2" t="s">
        <v>74</v>
      </c>
      <c r="E18" s="2" t="s">
        <v>81</v>
      </c>
      <c r="F18" s="2" t="n">
        <v>11</v>
      </c>
      <c r="G18" s="3" t="s">
        <v>14</v>
      </c>
      <c r="H18" s="2" t="s">
        <v>15</v>
      </c>
      <c r="I18" s="2" t="s">
        <v>82</v>
      </c>
      <c r="J18" s="2" t="s">
        <v>15</v>
      </c>
    </row>
    <row r="19" customFormat="false" ht="23.85" hidden="false" customHeight="false" outlineLevel="0" collapsed="false">
      <c r="A19" s="2" t="n">
        <v>18</v>
      </c>
      <c r="B19" s="2" t="s">
        <v>73</v>
      </c>
      <c r="C19" s="2" t="s">
        <v>11</v>
      </c>
      <c r="D19" s="2" t="s">
        <v>74</v>
      </c>
      <c r="E19" s="2" t="s">
        <v>83</v>
      </c>
      <c r="F19" s="2" t="n">
        <v>10</v>
      </c>
      <c r="G19" s="3" t="s">
        <v>14</v>
      </c>
      <c r="H19" s="2" t="s">
        <v>15</v>
      </c>
      <c r="I19" s="2" t="s">
        <v>84</v>
      </c>
      <c r="J19" s="2" t="s">
        <v>85</v>
      </c>
    </row>
    <row r="20" customFormat="false" ht="35.05" hidden="false" customHeight="false" outlineLevel="0" collapsed="false">
      <c r="A20" s="2" t="n">
        <v>19</v>
      </c>
      <c r="B20" s="2" t="s">
        <v>86</v>
      </c>
      <c r="C20" s="2" t="s">
        <v>11</v>
      </c>
      <c r="D20" s="2" t="s">
        <v>74</v>
      </c>
      <c r="E20" s="2" t="s">
        <v>87</v>
      </c>
      <c r="F20" s="2" t="n">
        <v>11</v>
      </c>
      <c r="G20" s="3" t="s">
        <v>14</v>
      </c>
      <c r="H20" s="2" t="s">
        <v>15</v>
      </c>
      <c r="I20" s="2" t="s">
        <v>88</v>
      </c>
      <c r="J20" s="2" t="s">
        <v>15</v>
      </c>
    </row>
    <row r="21" customFormat="false" ht="23.85" hidden="false" customHeight="false" outlineLevel="0" collapsed="false">
      <c r="A21" s="2" t="n">
        <v>20</v>
      </c>
      <c r="B21" s="2" t="s">
        <v>86</v>
      </c>
      <c r="C21" s="2" t="s">
        <v>11</v>
      </c>
      <c r="D21" s="2" t="s">
        <v>74</v>
      </c>
      <c r="E21" s="2" t="s">
        <v>89</v>
      </c>
      <c r="F21" s="2" t="n">
        <v>11</v>
      </c>
      <c r="G21" s="3" t="s">
        <v>14</v>
      </c>
      <c r="H21" s="2" t="s">
        <v>90</v>
      </c>
      <c r="I21" s="2" t="s">
        <v>91</v>
      </c>
      <c r="J21" s="2" t="s">
        <v>92</v>
      </c>
    </row>
    <row r="22" customFormat="false" ht="35.05" hidden="false" customHeight="false" outlineLevel="0" collapsed="false">
      <c r="A22" s="2" t="n">
        <v>21</v>
      </c>
      <c r="B22" s="2" t="s">
        <v>86</v>
      </c>
      <c r="C22" s="2" t="s">
        <v>11</v>
      </c>
      <c r="D22" s="2" t="s">
        <v>74</v>
      </c>
      <c r="E22" s="2" t="s">
        <v>93</v>
      </c>
      <c r="F22" s="2" t="n">
        <v>12</v>
      </c>
      <c r="G22" s="3" t="s">
        <v>14</v>
      </c>
      <c r="H22" s="2" t="s">
        <v>94</v>
      </c>
      <c r="I22" s="2" t="s">
        <v>95</v>
      </c>
      <c r="J22" s="2" t="s">
        <v>96</v>
      </c>
    </row>
    <row r="23" customFormat="false" ht="23.85" hidden="false" customHeight="false" outlineLevel="0" collapsed="false">
      <c r="A23" s="2" t="n">
        <v>22</v>
      </c>
      <c r="B23" s="2" t="s">
        <v>86</v>
      </c>
      <c r="C23" s="2" t="s">
        <v>11</v>
      </c>
      <c r="D23" s="2" t="s">
        <v>30</v>
      </c>
      <c r="E23" s="2" t="s">
        <v>97</v>
      </c>
      <c r="F23" s="2" t="n">
        <v>8</v>
      </c>
      <c r="G23" s="4" t="s">
        <v>32</v>
      </c>
      <c r="H23" s="2" t="s">
        <v>15</v>
      </c>
      <c r="I23" s="2" t="s">
        <v>98</v>
      </c>
      <c r="J23" s="2" t="s">
        <v>99</v>
      </c>
    </row>
    <row r="24" customFormat="false" ht="23.85" hidden="false" customHeight="false" outlineLevel="0" collapsed="false">
      <c r="A24" s="2" t="n">
        <v>23</v>
      </c>
      <c r="B24" s="2" t="s">
        <v>100</v>
      </c>
      <c r="C24" s="2" t="s">
        <v>101</v>
      </c>
      <c r="D24" s="2" t="s">
        <v>102</v>
      </c>
      <c r="E24" s="2" t="s">
        <v>103</v>
      </c>
      <c r="F24" s="2" t="n">
        <v>10</v>
      </c>
      <c r="G24" s="3" t="s">
        <v>14</v>
      </c>
      <c r="H24" s="2" t="s">
        <v>15</v>
      </c>
      <c r="I24" s="2" t="s">
        <v>104</v>
      </c>
      <c r="J24" s="2" t="s">
        <v>105</v>
      </c>
    </row>
    <row r="25" customFormat="false" ht="23.85" hidden="false" customHeight="false" outlineLevel="0" collapsed="false">
      <c r="A25" s="2" t="n">
        <v>24</v>
      </c>
      <c r="B25" s="2" t="s">
        <v>100</v>
      </c>
      <c r="C25" s="2" t="s">
        <v>101</v>
      </c>
      <c r="D25" s="2" t="s">
        <v>102</v>
      </c>
      <c r="E25" s="2" t="s">
        <v>106</v>
      </c>
      <c r="F25" s="2" t="n">
        <v>10</v>
      </c>
      <c r="G25" s="3" t="s">
        <v>14</v>
      </c>
      <c r="H25" s="2" t="s">
        <v>15</v>
      </c>
      <c r="I25" s="2" t="s">
        <v>107</v>
      </c>
      <c r="J25" s="2" t="s">
        <v>108</v>
      </c>
    </row>
    <row r="26" customFormat="false" ht="23.85" hidden="false" customHeight="false" outlineLevel="0" collapsed="false">
      <c r="A26" s="2" t="n">
        <v>25</v>
      </c>
      <c r="B26" s="2" t="s">
        <v>100</v>
      </c>
      <c r="C26" s="2" t="s">
        <v>101</v>
      </c>
      <c r="D26" s="2" t="s">
        <v>102</v>
      </c>
      <c r="E26" s="2" t="s">
        <v>109</v>
      </c>
      <c r="F26" s="2" t="n">
        <v>10</v>
      </c>
      <c r="G26" s="5" t="s">
        <v>41</v>
      </c>
      <c r="H26" s="2" t="s">
        <v>15</v>
      </c>
      <c r="I26" s="2" t="s">
        <v>110</v>
      </c>
      <c r="J26" s="2" t="s">
        <v>111</v>
      </c>
    </row>
    <row r="27" customFormat="false" ht="23.85" hidden="false" customHeight="false" outlineLevel="0" collapsed="false">
      <c r="A27" s="2" t="n">
        <v>26</v>
      </c>
      <c r="B27" s="2" t="s">
        <v>100</v>
      </c>
      <c r="C27" s="2" t="s">
        <v>101</v>
      </c>
      <c r="D27" s="2" t="s">
        <v>102</v>
      </c>
      <c r="E27" s="2" t="s">
        <v>112</v>
      </c>
      <c r="F27" s="2" t="n">
        <v>12</v>
      </c>
      <c r="G27" s="3" t="s">
        <v>14</v>
      </c>
      <c r="H27" s="2" t="s">
        <v>113</v>
      </c>
      <c r="I27" s="2" t="s">
        <v>114</v>
      </c>
      <c r="J27" s="2" t="s">
        <v>115</v>
      </c>
    </row>
    <row r="28" customFormat="false" ht="23.85" hidden="false" customHeight="false" outlineLevel="0" collapsed="false">
      <c r="A28" s="2" t="n">
        <v>27</v>
      </c>
      <c r="B28" s="2" t="s">
        <v>116</v>
      </c>
      <c r="C28" s="2" t="s">
        <v>101</v>
      </c>
      <c r="D28" s="2" t="s">
        <v>117</v>
      </c>
      <c r="E28" s="2" t="s">
        <v>118</v>
      </c>
      <c r="F28" s="2" t="n">
        <v>10</v>
      </c>
      <c r="G28" s="3" t="s">
        <v>14</v>
      </c>
      <c r="H28" s="2" t="s">
        <v>15</v>
      </c>
      <c r="I28" s="2" t="s">
        <v>119</v>
      </c>
      <c r="J28" s="2" t="s">
        <v>15</v>
      </c>
    </row>
    <row r="29" customFormat="false" ht="35.05" hidden="false" customHeight="false" outlineLevel="0" collapsed="false">
      <c r="A29" s="2" t="n">
        <v>28</v>
      </c>
      <c r="B29" s="2" t="s">
        <v>116</v>
      </c>
      <c r="C29" s="2" t="s">
        <v>101</v>
      </c>
      <c r="D29" s="2" t="s">
        <v>117</v>
      </c>
      <c r="E29" s="2" t="s">
        <v>120</v>
      </c>
      <c r="F29" s="2" t="n">
        <v>10</v>
      </c>
      <c r="G29" s="3" t="s">
        <v>14</v>
      </c>
      <c r="H29" s="2" t="s">
        <v>15</v>
      </c>
      <c r="I29" s="2" t="s">
        <v>121</v>
      </c>
      <c r="J29" s="2" t="s">
        <v>15</v>
      </c>
    </row>
    <row r="30" customFormat="false" ht="23.85" hidden="false" customHeight="false" outlineLevel="0" collapsed="false">
      <c r="A30" s="2" t="n">
        <v>29</v>
      </c>
      <c r="B30" s="2" t="s">
        <v>116</v>
      </c>
      <c r="C30" s="2" t="s">
        <v>101</v>
      </c>
      <c r="D30" s="2" t="s">
        <v>117</v>
      </c>
      <c r="E30" s="2" t="s">
        <v>122</v>
      </c>
      <c r="F30" s="2" t="n">
        <v>11</v>
      </c>
      <c r="G30" s="3" t="s">
        <v>14</v>
      </c>
      <c r="H30" s="2" t="s">
        <v>15</v>
      </c>
      <c r="I30" s="2" t="s">
        <v>123</v>
      </c>
      <c r="J30" s="2" t="s">
        <v>15</v>
      </c>
    </row>
    <row r="31" customFormat="false" ht="23.85" hidden="false" customHeight="false" outlineLevel="0" collapsed="false">
      <c r="A31" s="2" t="n">
        <v>30</v>
      </c>
      <c r="B31" s="2" t="s">
        <v>116</v>
      </c>
      <c r="C31" s="2" t="s">
        <v>101</v>
      </c>
      <c r="D31" s="2" t="s">
        <v>117</v>
      </c>
      <c r="E31" s="2" t="s">
        <v>124</v>
      </c>
      <c r="F31" s="2" t="n">
        <v>12</v>
      </c>
      <c r="G31" s="3" t="s">
        <v>14</v>
      </c>
      <c r="H31" s="2" t="s">
        <v>125</v>
      </c>
      <c r="I31" s="2" t="s">
        <v>126</v>
      </c>
      <c r="J31" s="2" t="s">
        <v>127</v>
      </c>
    </row>
    <row r="32" customFormat="false" ht="23.85" hidden="false" customHeight="false" outlineLevel="0" collapsed="false">
      <c r="A32" s="2" t="n">
        <v>31</v>
      </c>
      <c r="B32" s="2" t="s">
        <v>116</v>
      </c>
      <c r="C32" s="2" t="s">
        <v>101</v>
      </c>
      <c r="D32" s="2" t="s">
        <v>30</v>
      </c>
      <c r="E32" s="2" t="s">
        <v>128</v>
      </c>
      <c r="F32" s="2" t="n">
        <v>8</v>
      </c>
      <c r="G32" s="4" t="s">
        <v>32</v>
      </c>
      <c r="H32" s="2" t="s">
        <v>15</v>
      </c>
      <c r="I32" s="2" t="s">
        <v>129</v>
      </c>
      <c r="J32" s="2" t="s">
        <v>15</v>
      </c>
    </row>
    <row r="33" customFormat="false" ht="23.85" hidden="false" customHeight="false" outlineLevel="0" collapsed="false">
      <c r="A33" s="2" t="n">
        <v>32</v>
      </c>
      <c r="B33" s="2" t="s">
        <v>130</v>
      </c>
      <c r="C33" s="2" t="s">
        <v>101</v>
      </c>
      <c r="D33" s="2" t="s">
        <v>131</v>
      </c>
      <c r="E33" s="2" t="s">
        <v>132</v>
      </c>
      <c r="F33" s="2" t="n">
        <v>10</v>
      </c>
      <c r="G33" s="3" t="s">
        <v>14</v>
      </c>
      <c r="H33" s="2" t="s">
        <v>15</v>
      </c>
      <c r="I33" s="2" t="s">
        <v>133</v>
      </c>
      <c r="J33" s="2" t="s">
        <v>15</v>
      </c>
    </row>
    <row r="34" customFormat="false" ht="23.85" hidden="false" customHeight="false" outlineLevel="0" collapsed="false">
      <c r="A34" s="2" t="n">
        <v>33</v>
      </c>
      <c r="B34" s="2" t="s">
        <v>130</v>
      </c>
      <c r="C34" s="2" t="s">
        <v>101</v>
      </c>
      <c r="D34" s="2" t="s">
        <v>131</v>
      </c>
      <c r="E34" s="2" t="s">
        <v>134</v>
      </c>
      <c r="F34" s="2" t="n">
        <v>10</v>
      </c>
      <c r="G34" s="3" t="s">
        <v>14</v>
      </c>
      <c r="H34" s="2" t="s">
        <v>15</v>
      </c>
      <c r="I34" s="2" t="s">
        <v>135</v>
      </c>
      <c r="J34" s="2" t="s">
        <v>136</v>
      </c>
    </row>
    <row r="35" customFormat="false" ht="23.85" hidden="false" customHeight="false" outlineLevel="0" collapsed="false">
      <c r="A35" s="2" t="n">
        <v>34</v>
      </c>
      <c r="B35" s="2" t="s">
        <v>130</v>
      </c>
      <c r="C35" s="2" t="s">
        <v>101</v>
      </c>
      <c r="D35" s="2" t="s">
        <v>131</v>
      </c>
      <c r="E35" s="2" t="s">
        <v>137</v>
      </c>
      <c r="F35" s="2" t="n">
        <v>10</v>
      </c>
      <c r="G35" s="5" t="s">
        <v>41</v>
      </c>
      <c r="H35" s="2" t="s">
        <v>15</v>
      </c>
      <c r="I35" s="2" t="s">
        <v>138</v>
      </c>
      <c r="J35" s="2" t="s">
        <v>139</v>
      </c>
    </row>
    <row r="36" customFormat="false" ht="23.85" hidden="false" customHeight="false" outlineLevel="0" collapsed="false">
      <c r="A36" s="2" t="n">
        <v>35</v>
      </c>
      <c r="B36" s="2" t="s">
        <v>130</v>
      </c>
      <c r="C36" s="2" t="s">
        <v>101</v>
      </c>
      <c r="D36" s="2" t="s">
        <v>131</v>
      </c>
      <c r="E36" s="2" t="s">
        <v>140</v>
      </c>
      <c r="F36" s="2" t="n">
        <v>11</v>
      </c>
      <c r="G36" s="3" t="s">
        <v>14</v>
      </c>
      <c r="H36" s="2" t="s">
        <v>141</v>
      </c>
      <c r="I36" s="2" t="s">
        <v>142</v>
      </c>
      <c r="J36" s="2" t="s">
        <v>143</v>
      </c>
    </row>
    <row r="37" customFormat="false" ht="23.85" hidden="false" customHeight="false" outlineLevel="0" collapsed="false">
      <c r="A37" s="2" t="n">
        <v>36</v>
      </c>
      <c r="B37" s="2" t="s">
        <v>144</v>
      </c>
      <c r="C37" s="2" t="s">
        <v>145</v>
      </c>
      <c r="D37" s="2" t="s">
        <v>146</v>
      </c>
      <c r="E37" s="2" t="s">
        <v>147</v>
      </c>
      <c r="F37" s="2" t="n">
        <v>10</v>
      </c>
      <c r="G37" s="3" t="s">
        <v>14</v>
      </c>
      <c r="H37" s="2" t="s">
        <v>15</v>
      </c>
      <c r="I37" s="2" t="s">
        <v>148</v>
      </c>
      <c r="J37" s="2" t="s">
        <v>149</v>
      </c>
    </row>
    <row r="38" customFormat="false" ht="23.85" hidden="false" customHeight="false" outlineLevel="0" collapsed="false">
      <c r="A38" s="2" t="n">
        <v>37</v>
      </c>
      <c r="B38" s="2" t="s">
        <v>144</v>
      </c>
      <c r="C38" s="2" t="s">
        <v>145</v>
      </c>
      <c r="D38" s="2" t="s">
        <v>146</v>
      </c>
      <c r="E38" s="2" t="s">
        <v>150</v>
      </c>
      <c r="F38" s="2" t="n">
        <v>10</v>
      </c>
      <c r="G38" s="5" t="s">
        <v>41</v>
      </c>
      <c r="H38" s="2" t="s">
        <v>15</v>
      </c>
      <c r="I38" s="2" t="s">
        <v>151</v>
      </c>
      <c r="J38" s="2" t="s">
        <v>152</v>
      </c>
    </row>
    <row r="39" customFormat="false" ht="23.85" hidden="false" customHeight="false" outlineLevel="0" collapsed="false">
      <c r="A39" s="2" t="n">
        <v>38</v>
      </c>
      <c r="B39" s="2" t="s">
        <v>144</v>
      </c>
      <c r="C39" s="2" t="s">
        <v>145</v>
      </c>
      <c r="D39" s="2" t="s">
        <v>153</v>
      </c>
      <c r="E39" s="2" t="s">
        <v>154</v>
      </c>
      <c r="F39" s="2" t="n">
        <v>11</v>
      </c>
      <c r="G39" s="3" t="s">
        <v>14</v>
      </c>
      <c r="H39" s="2" t="s">
        <v>15</v>
      </c>
      <c r="I39" s="2" t="s">
        <v>155</v>
      </c>
      <c r="J39" s="2" t="s">
        <v>15</v>
      </c>
    </row>
    <row r="40" customFormat="false" ht="23.85" hidden="false" customHeight="false" outlineLevel="0" collapsed="false">
      <c r="A40" s="2" t="n">
        <v>39</v>
      </c>
      <c r="B40" s="2" t="s">
        <v>144</v>
      </c>
      <c r="C40" s="2" t="s">
        <v>145</v>
      </c>
      <c r="D40" s="2" t="s">
        <v>153</v>
      </c>
      <c r="E40" s="2" t="s">
        <v>156</v>
      </c>
      <c r="F40" s="2" t="n">
        <v>12</v>
      </c>
      <c r="G40" s="3" t="s">
        <v>14</v>
      </c>
      <c r="H40" s="2" t="s">
        <v>157</v>
      </c>
      <c r="I40" s="2" t="s">
        <v>158</v>
      </c>
      <c r="J40" s="2" t="s">
        <v>159</v>
      </c>
    </row>
    <row r="41" customFormat="false" ht="23.85" hidden="false" customHeight="false" outlineLevel="0" collapsed="false">
      <c r="A41" s="2" t="n">
        <v>40</v>
      </c>
      <c r="B41" s="2" t="s">
        <v>144</v>
      </c>
      <c r="C41" s="2" t="s">
        <v>145</v>
      </c>
      <c r="D41" s="2" t="s">
        <v>30</v>
      </c>
      <c r="E41" s="2" t="s">
        <v>160</v>
      </c>
      <c r="F41" s="2" t="n">
        <v>8</v>
      </c>
      <c r="G41" s="4" t="s">
        <v>32</v>
      </c>
      <c r="H41" s="2" t="s">
        <v>15</v>
      </c>
      <c r="I41" s="2" t="s">
        <v>161</v>
      </c>
      <c r="J41" s="2" t="s">
        <v>15</v>
      </c>
    </row>
    <row r="42" customFormat="false" ht="35.05" hidden="false" customHeight="false" outlineLevel="0" collapsed="false">
      <c r="A42" s="2" t="n">
        <v>41</v>
      </c>
      <c r="B42" s="2" t="s">
        <v>162</v>
      </c>
      <c r="C42" s="2" t="s">
        <v>145</v>
      </c>
      <c r="D42" s="2" t="s">
        <v>163</v>
      </c>
      <c r="E42" s="2" t="s">
        <v>164</v>
      </c>
      <c r="F42" s="2" t="n">
        <v>10</v>
      </c>
      <c r="G42" s="3" t="s">
        <v>14</v>
      </c>
      <c r="H42" s="2" t="s">
        <v>15</v>
      </c>
      <c r="I42" s="2" t="s">
        <v>165</v>
      </c>
      <c r="J42" s="2" t="s">
        <v>166</v>
      </c>
    </row>
    <row r="43" customFormat="false" ht="23.85" hidden="false" customHeight="false" outlineLevel="0" collapsed="false">
      <c r="A43" s="2" t="n">
        <v>42</v>
      </c>
      <c r="B43" s="2" t="s">
        <v>162</v>
      </c>
      <c r="C43" s="2" t="s">
        <v>145</v>
      </c>
      <c r="D43" s="2" t="s">
        <v>163</v>
      </c>
      <c r="E43" s="2" t="s">
        <v>167</v>
      </c>
      <c r="F43" s="2" t="n">
        <v>11</v>
      </c>
      <c r="G43" s="3" t="s">
        <v>14</v>
      </c>
      <c r="H43" s="2" t="s">
        <v>168</v>
      </c>
      <c r="I43" s="2" t="s">
        <v>169</v>
      </c>
      <c r="J43" s="2" t="s">
        <v>15</v>
      </c>
    </row>
    <row r="44" customFormat="false" ht="23.85" hidden="false" customHeight="false" outlineLevel="0" collapsed="false">
      <c r="A44" s="2" t="n">
        <v>43</v>
      </c>
      <c r="B44" s="2" t="s">
        <v>162</v>
      </c>
      <c r="C44" s="2" t="s">
        <v>145</v>
      </c>
      <c r="D44" s="2" t="s">
        <v>163</v>
      </c>
      <c r="E44" s="2" t="s">
        <v>170</v>
      </c>
      <c r="F44" s="2" t="n">
        <v>11</v>
      </c>
      <c r="G44" s="3" t="s">
        <v>14</v>
      </c>
      <c r="H44" s="2" t="s">
        <v>171</v>
      </c>
      <c r="I44" s="2" t="s">
        <v>172</v>
      </c>
      <c r="J44" s="2" t="s">
        <v>15</v>
      </c>
    </row>
    <row r="45" customFormat="false" ht="23.85" hidden="false" customHeight="false" outlineLevel="0" collapsed="false">
      <c r="A45" s="2" t="n">
        <v>44</v>
      </c>
      <c r="B45" s="2" t="s">
        <v>162</v>
      </c>
      <c r="C45" s="2" t="s">
        <v>145</v>
      </c>
      <c r="D45" s="2" t="s">
        <v>163</v>
      </c>
      <c r="E45" s="2" t="s">
        <v>173</v>
      </c>
      <c r="F45" s="2" t="n">
        <v>11</v>
      </c>
      <c r="G45" s="3" t="s">
        <v>14</v>
      </c>
      <c r="H45" s="2" t="s">
        <v>15</v>
      </c>
      <c r="I45" s="2" t="s">
        <v>174</v>
      </c>
      <c r="J45" s="2" t="s">
        <v>15</v>
      </c>
    </row>
    <row r="46" customFormat="false" ht="23.85" hidden="false" customHeight="false" outlineLevel="0" collapsed="false">
      <c r="A46" s="2" t="n">
        <v>45</v>
      </c>
      <c r="B46" s="2" t="s">
        <v>175</v>
      </c>
      <c r="C46" s="2" t="s">
        <v>145</v>
      </c>
      <c r="D46" s="2" t="s">
        <v>163</v>
      </c>
      <c r="E46" s="2" t="s">
        <v>176</v>
      </c>
      <c r="F46" s="2" t="n">
        <v>11</v>
      </c>
      <c r="G46" s="3" t="s">
        <v>14</v>
      </c>
      <c r="H46" s="2" t="s">
        <v>177</v>
      </c>
      <c r="I46" s="2" t="s">
        <v>178</v>
      </c>
      <c r="J46" s="2" t="s">
        <v>15</v>
      </c>
    </row>
    <row r="47" customFormat="false" ht="23.85" hidden="false" customHeight="false" outlineLevel="0" collapsed="false">
      <c r="A47" s="2" t="n">
        <v>46</v>
      </c>
      <c r="B47" s="2" t="s">
        <v>175</v>
      </c>
      <c r="C47" s="2" t="s">
        <v>145</v>
      </c>
      <c r="D47" s="2" t="s">
        <v>163</v>
      </c>
      <c r="E47" s="2" t="s">
        <v>179</v>
      </c>
      <c r="F47" s="2" t="n">
        <v>11</v>
      </c>
      <c r="G47" s="3" t="s">
        <v>14</v>
      </c>
      <c r="H47" s="2" t="s">
        <v>15</v>
      </c>
      <c r="I47" s="2" t="s">
        <v>180</v>
      </c>
      <c r="J47" s="2" t="s">
        <v>181</v>
      </c>
    </row>
    <row r="48" customFormat="false" ht="23.85" hidden="false" customHeight="false" outlineLevel="0" collapsed="false">
      <c r="A48" s="2" t="n">
        <v>47</v>
      </c>
      <c r="B48" s="2" t="s">
        <v>175</v>
      </c>
      <c r="C48" s="2" t="s">
        <v>145</v>
      </c>
      <c r="D48" s="2" t="s">
        <v>163</v>
      </c>
      <c r="E48" s="2" t="s">
        <v>182</v>
      </c>
      <c r="F48" s="2" t="n">
        <v>12</v>
      </c>
      <c r="G48" s="3" t="s">
        <v>14</v>
      </c>
      <c r="H48" s="2" t="s">
        <v>183</v>
      </c>
      <c r="I48" s="2" t="s">
        <v>184</v>
      </c>
      <c r="J48" s="2" t="s">
        <v>185</v>
      </c>
    </row>
    <row r="49" customFormat="false" ht="23.85" hidden="false" customHeight="false" outlineLevel="0" collapsed="false">
      <c r="A49" s="2" t="n">
        <v>48</v>
      </c>
      <c r="B49" s="2" t="s">
        <v>175</v>
      </c>
      <c r="C49" s="2" t="s">
        <v>145</v>
      </c>
      <c r="D49" s="2" t="s">
        <v>30</v>
      </c>
      <c r="E49" s="2" t="s">
        <v>186</v>
      </c>
      <c r="F49" s="2" t="n">
        <v>9</v>
      </c>
      <c r="G49" s="4" t="s">
        <v>32</v>
      </c>
      <c r="H49" s="2" t="s">
        <v>15</v>
      </c>
      <c r="I49" s="2" t="s">
        <v>187</v>
      </c>
      <c r="J49" s="2" t="s">
        <v>15</v>
      </c>
    </row>
    <row r="50" customFormat="false" ht="23.85" hidden="false" customHeight="false" outlineLevel="0" collapsed="false">
      <c r="A50" s="2" t="n">
        <v>49</v>
      </c>
      <c r="B50" s="2" t="s">
        <v>188</v>
      </c>
      <c r="C50" s="2" t="s">
        <v>145</v>
      </c>
      <c r="D50" s="2" t="s">
        <v>189</v>
      </c>
      <c r="E50" s="2" t="s">
        <v>190</v>
      </c>
      <c r="F50" s="2" t="n">
        <v>9</v>
      </c>
      <c r="G50" s="5" t="s">
        <v>41</v>
      </c>
      <c r="H50" s="2" t="s">
        <v>15</v>
      </c>
      <c r="I50" s="2" t="s">
        <v>191</v>
      </c>
      <c r="J50" s="2" t="s">
        <v>192</v>
      </c>
    </row>
    <row r="51" customFormat="false" ht="15" hidden="false" customHeight="false" outlineLevel="0" collapsed="false">
      <c r="A51" s="2" t="n">
        <v>50</v>
      </c>
      <c r="B51" s="2" t="s">
        <v>188</v>
      </c>
      <c r="C51" s="2" t="s">
        <v>145</v>
      </c>
      <c r="D51" s="2" t="s">
        <v>189</v>
      </c>
      <c r="E51" s="2" t="s">
        <v>193</v>
      </c>
      <c r="F51" s="2" t="n">
        <v>10</v>
      </c>
      <c r="G51" s="3" t="s">
        <v>14</v>
      </c>
      <c r="H51" s="2" t="s">
        <v>15</v>
      </c>
      <c r="I51" s="2" t="s">
        <v>194</v>
      </c>
      <c r="J51" s="2" t="s">
        <v>15</v>
      </c>
    </row>
    <row r="52" customFormat="false" ht="15" hidden="false" customHeight="false" outlineLevel="0" collapsed="false">
      <c r="A52" s="2" t="n">
        <v>51</v>
      </c>
      <c r="B52" s="2" t="s">
        <v>188</v>
      </c>
      <c r="C52" s="2" t="s">
        <v>145</v>
      </c>
      <c r="D52" s="2" t="s">
        <v>189</v>
      </c>
      <c r="E52" s="2" t="s">
        <v>195</v>
      </c>
      <c r="F52" s="2" t="n">
        <v>11</v>
      </c>
      <c r="G52" s="3" t="s">
        <v>14</v>
      </c>
      <c r="H52" s="2" t="s">
        <v>15</v>
      </c>
      <c r="I52" s="2" t="s">
        <v>196</v>
      </c>
      <c r="J52" s="2" t="s">
        <v>15</v>
      </c>
    </row>
    <row r="53" customFormat="false" ht="23.85" hidden="false" customHeight="false" outlineLevel="0" collapsed="false">
      <c r="A53" s="2" t="n">
        <v>52</v>
      </c>
      <c r="B53" s="2" t="s">
        <v>188</v>
      </c>
      <c r="C53" s="2" t="s">
        <v>145</v>
      </c>
      <c r="D53" s="2" t="s">
        <v>189</v>
      </c>
      <c r="E53" s="2" t="s">
        <v>197</v>
      </c>
      <c r="F53" s="2" t="n">
        <v>10</v>
      </c>
      <c r="G53" s="5" t="s">
        <v>41</v>
      </c>
      <c r="H53" s="2" t="s">
        <v>198</v>
      </c>
      <c r="I53" s="2" t="s">
        <v>199</v>
      </c>
      <c r="J53" s="2" t="s">
        <v>200</v>
      </c>
    </row>
    <row r="54" customFormat="false" ht="23.85" hidden="false" customHeight="false" outlineLevel="0" collapsed="false">
      <c r="A54" s="2" t="n">
        <v>53</v>
      </c>
      <c r="B54" s="2" t="s">
        <v>188</v>
      </c>
      <c r="C54" s="2" t="s">
        <v>145</v>
      </c>
      <c r="D54" s="2" t="s">
        <v>30</v>
      </c>
      <c r="E54" s="2" t="s">
        <v>201</v>
      </c>
      <c r="F54" s="2" t="n">
        <v>8</v>
      </c>
      <c r="G54" s="4" t="s">
        <v>32</v>
      </c>
      <c r="H54" s="2" t="s">
        <v>15</v>
      </c>
      <c r="I54" s="2" t="s">
        <v>202</v>
      </c>
      <c r="J54" s="2" t="s">
        <v>15</v>
      </c>
    </row>
    <row r="55" customFormat="false" ht="23.85" hidden="false" customHeight="false" outlineLevel="0" collapsed="false">
      <c r="A55" s="2" t="n">
        <v>54</v>
      </c>
      <c r="B55" s="2" t="s">
        <v>203</v>
      </c>
      <c r="C55" s="2" t="s">
        <v>204</v>
      </c>
      <c r="D55" s="2" t="s">
        <v>205</v>
      </c>
      <c r="E55" s="2" t="s">
        <v>206</v>
      </c>
      <c r="F55" s="2" t="n">
        <v>10</v>
      </c>
      <c r="G55" s="3" t="s">
        <v>14</v>
      </c>
      <c r="H55" s="2" t="s">
        <v>15</v>
      </c>
      <c r="I55" s="2" t="s">
        <v>207</v>
      </c>
      <c r="J55" s="2" t="s">
        <v>208</v>
      </c>
    </row>
    <row r="56" customFormat="false" ht="23.85" hidden="false" customHeight="false" outlineLevel="0" collapsed="false">
      <c r="A56" s="2" t="n">
        <v>55</v>
      </c>
      <c r="B56" s="2" t="s">
        <v>203</v>
      </c>
      <c r="C56" s="2" t="s">
        <v>204</v>
      </c>
      <c r="D56" s="2" t="s">
        <v>205</v>
      </c>
      <c r="E56" s="2" t="s">
        <v>209</v>
      </c>
      <c r="F56" s="2" t="n">
        <v>10</v>
      </c>
      <c r="G56" s="3" t="s">
        <v>14</v>
      </c>
      <c r="H56" s="2" t="s">
        <v>210</v>
      </c>
      <c r="I56" s="2" t="s">
        <v>15</v>
      </c>
      <c r="J56" s="2" t="s">
        <v>211</v>
      </c>
    </row>
    <row r="57" customFormat="false" ht="23.85" hidden="false" customHeight="false" outlineLevel="0" collapsed="false">
      <c r="A57" s="2" t="n">
        <v>56</v>
      </c>
      <c r="B57" s="2" t="s">
        <v>203</v>
      </c>
      <c r="C57" s="2" t="s">
        <v>204</v>
      </c>
      <c r="D57" s="2" t="s">
        <v>205</v>
      </c>
      <c r="E57" s="2" t="s">
        <v>212</v>
      </c>
      <c r="F57" s="2" t="n">
        <v>9</v>
      </c>
      <c r="G57" s="3" t="s">
        <v>14</v>
      </c>
      <c r="H57" s="2" t="s">
        <v>213</v>
      </c>
      <c r="I57" s="2" t="s">
        <v>214</v>
      </c>
      <c r="J57" s="2" t="s">
        <v>215</v>
      </c>
    </row>
    <row r="58" customFormat="false" ht="35.05" hidden="false" customHeight="false" outlineLevel="0" collapsed="false">
      <c r="A58" s="2" t="n">
        <v>57</v>
      </c>
      <c r="B58" s="2" t="s">
        <v>203</v>
      </c>
      <c r="C58" s="2" t="s">
        <v>204</v>
      </c>
      <c r="D58" s="2" t="s">
        <v>205</v>
      </c>
      <c r="E58" s="2" t="s">
        <v>216</v>
      </c>
      <c r="F58" s="2" t="n">
        <v>10</v>
      </c>
      <c r="G58" s="3" t="s">
        <v>14</v>
      </c>
      <c r="H58" s="2" t="s">
        <v>15</v>
      </c>
      <c r="I58" s="2" t="s">
        <v>217</v>
      </c>
      <c r="J58" s="2" t="s">
        <v>15</v>
      </c>
    </row>
    <row r="59" customFormat="false" ht="35.05" hidden="false" customHeight="false" outlineLevel="0" collapsed="false">
      <c r="A59" s="2" t="n">
        <v>58</v>
      </c>
      <c r="B59" s="2" t="s">
        <v>218</v>
      </c>
      <c r="C59" s="2" t="s">
        <v>204</v>
      </c>
      <c r="D59" s="2" t="s">
        <v>205</v>
      </c>
      <c r="E59" s="2" t="s">
        <v>219</v>
      </c>
      <c r="F59" s="2" t="n">
        <v>10</v>
      </c>
      <c r="G59" s="3" t="s">
        <v>14</v>
      </c>
      <c r="H59" s="2" t="s">
        <v>15</v>
      </c>
      <c r="I59" s="2" t="s">
        <v>220</v>
      </c>
      <c r="J59" s="2" t="s">
        <v>221</v>
      </c>
    </row>
    <row r="60" customFormat="false" ht="23.85" hidden="false" customHeight="false" outlineLevel="0" collapsed="false">
      <c r="A60" s="2" t="n">
        <v>59</v>
      </c>
      <c r="B60" s="2" t="s">
        <v>218</v>
      </c>
      <c r="C60" s="2" t="s">
        <v>204</v>
      </c>
      <c r="D60" s="2" t="s">
        <v>205</v>
      </c>
      <c r="E60" s="2" t="s">
        <v>222</v>
      </c>
      <c r="F60" s="2" t="n">
        <v>10</v>
      </c>
      <c r="G60" s="5" t="s">
        <v>41</v>
      </c>
      <c r="H60" s="2" t="s">
        <v>223</v>
      </c>
      <c r="I60" s="2" t="s">
        <v>224</v>
      </c>
      <c r="J60" s="2" t="s">
        <v>15</v>
      </c>
    </row>
    <row r="61" customFormat="false" ht="23.85" hidden="false" customHeight="false" outlineLevel="0" collapsed="false">
      <c r="A61" s="2" t="n">
        <v>60</v>
      </c>
      <c r="B61" s="2" t="s">
        <v>218</v>
      </c>
      <c r="C61" s="2" t="s">
        <v>204</v>
      </c>
      <c r="D61" s="2" t="s">
        <v>205</v>
      </c>
      <c r="E61" s="2" t="s">
        <v>225</v>
      </c>
      <c r="F61" s="2" t="n">
        <v>9</v>
      </c>
      <c r="G61" s="3" t="s">
        <v>14</v>
      </c>
      <c r="H61" s="2" t="s">
        <v>15</v>
      </c>
      <c r="I61" s="2" t="s">
        <v>15</v>
      </c>
      <c r="J61"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4"/>
    <col collapsed="false" customWidth="true" hidden="false" outlineLevel="0" max="4" min="4" style="0" width="34"/>
    <col collapsed="false" customWidth="true" hidden="false" outlineLevel="0" max="5" min="5" style="0" width="40"/>
  </cols>
  <sheetData>
    <row r="1" customFormat="false" ht="30" hidden="false" customHeight="true" outlineLevel="0" collapsed="false">
      <c r="A1" s="1" t="s">
        <v>3</v>
      </c>
      <c r="B1" s="1" t="s">
        <v>226</v>
      </c>
      <c r="C1" s="1" t="s">
        <v>227</v>
      </c>
      <c r="D1" s="1" t="s">
        <v>228</v>
      </c>
      <c r="E1" s="1" t="s">
        <v>229</v>
      </c>
    </row>
    <row r="2" customFormat="false" ht="15" hidden="false" customHeight="false" outlineLevel="0" collapsed="false">
      <c r="A2" s="6" t="s">
        <v>12</v>
      </c>
      <c r="B2" s="6" t="n">
        <f aca="false">COUNTIF('Weekly Schedule'!D:D,A2)</f>
        <v>4</v>
      </c>
      <c r="C2" s="6" t="n">
        <f aca="false">SUMIF('Weekly Schedule'!D:D,A2,'Weekly Schedule'!F:F)</f>
        <v>44</v>
      </c>
      <c r="D2" s="6" t="s">
        <v>230</v>
      </c>
      <c r="E2" s="6" t="s">
        <v>231</v>
      </c>
    </row>
    <row r="3" customFormat="false" ht="15" hidden="false" customHeight="false" outlineLevel="0" collapsed="false">
      <c r="A3" s="6" t="s">
        <v>30</v>
      </c>
      <c r="B3" s="6" t="n">
        <f aca="false">COUNTIF('Weekly Schedule'!D:D,A3)</f>
        <v>7</v>
      </c>
      <c r="C3" s="6" t="n">
        <f aca="false">SUMIF('Weekly Schedule'!D:D,A3,'Weekly Schedule'!F:F)</f>
        <v>55</v>
      </c>
      <c r="D3" s="6" t="s">
        <v>232</v>
      </c>
      <c r="E3" s="6" t="s">
        <v>233</v>
      </c>
    </row>
    <row r="4" customFormat="false" ht="23.85" hidden="false" customHeight="false" outlineLevel="0" collapsed="false">
      <c r="A4" s="6" t="s">
        <v>36</v>
      </c>
      <c r="B4" s="6" t="n">
        <f aca="false">COUNTIF('Weekly Schedule'!D:D,A4)</f>
        <v>2</v>
      </c>
      <c r="C4" s="6" t="n">
        <f aca="false">SUMIF('Weekly Schedule'!D:D,A4,'Weekly Schedule'!F:F)</f>
        <v>21</v>
      </c>
      <c r="D4" s="6" t="s">
        <v>234</v>
      </c>
      <c r="E4" s="6" t="s">
        <v>235</v>
      </c>
    </row>
    <row r="5" customFormat="false" ht="23.85" hidden="false" customHeight="false" outlineLevel="0" collapsed="false">
      <c r="A5" s="6" t="s">
        <v>45</v>
      </c>
      <c r="B5" s="6" t="n">
        <f aca="false">COUNTIF('Weekly Schedule'!D:D,A5)</f>
        <v>2</v>
      </c>
      <c r="C5" s="6" t="n">
        <f aca="false">SUMIF('Weekly Schedule'!D:D,A5,'Weekly Schedule'!F:F)</f>
        <v>20</v>
      </c>
      <c r="D5" s="6" t="s">
        <v>14</v>
      </c>
      <c r="E5" s="6" t="s">
        <v>236</v>
      </c>
    </row>
    <row r="6" customFormat="false" ht="15" hidden="false" customHeight="false" outlineLevel="0" collapsed="false">
      <c r="A6" s="6" t="s">
        <v>54</v>
      </c>
      <c r="B6" s="6" t="n">
        <f aca="false">COUNTIF('Weekly Schedule'!D:D,A6)</f>
        <v>4</v>
      </c>
      <c r="C6" s="6" t="n">
        <f aca="false">SUMIF('Weekly Schedule'!D:D,A6,'Weekly Schedule'!F:F)</f>
        <v>44</v>
      </c>
      <c r="D6" s="6" t="s">
        <v>14</v>
      </c>
      <c r="E6" s="6" t="s">
        <v>237</v>
      </c>
    </row>
    <row r="7" customFormat="false" ht="23.85" hidden="false" customHeight="false" outlineLevel="0" collapsed="false">
      <c r="A7" s="6" t="s">
        <v>74</v>
      </c>
      <c r="B7" s="6" t="n">
        <f aca="false">COUNTIF('Weekly Schedule'!D:D,A7)</f>
        <v>7</v>
      </c>
      <c r="C7" s="6" t="n">
        <f aca="false">SUMIF('Weekly Schedule'!D:D,A7,'Weekly Schedule'!F:F)</f>
        <v>77</v>
      </c>
      <c r="D7" s="6" t="s">
        <v>238</v>
      </c>
      <c r="E7" s="6" t="s">
        <v>239</v>
      </c>
    </row>
    <row r="8" customFormat="false" ht="15" hidden="false" customHeight="false" outlineLevel="0" collapsed="false">
      <c r="A8" s="6" t="s">
        <v>102</v>
      </c>
      <c r="B8" s="6" t="n">
        <f aca="false">COUNTIF('Weekly Schedule'!D:D,A8)</f>
        <v>4</v>
      </c>
      <c r="C8" s="6" t="n">
        <f aca="false">SUMIF('Weekly Schedule'!D:D,A8,'Weekly Schedule'!F:F)</f>
        <v>42</v>
      </c>
      <c r="D8" s="6" t="s">
        <v>14</v>
      </c>
      <c r="E8" s="6" t="s">
        <v>240</v>
      </c>
    </row>
    <row r="9" customFormat="false" ht="15" hidden="false" customHeight="false" outlineLevel="0" collapsed="false">
      <c r="A9" s="6" t="s">
        <v>117</v>
      </c>
      <c r="B9" s="6" t="n">
        <f aca="false">COUNTIF('Weekly Schedule'!D:D,A9)</f>
        <v>4</v>
      </c>
      <c r="C9" s="6" t="n">
        <f aca="false">SUMIF('Weekly Schedule'!D:D,A9,'Weekly Schedule'!F:F)</f>
        <v>43</v>
      </c>
      <c r="D9" s="6" t="s">
        <v>241</v>
      </c>
      <c r="E9" s="6" t="s">
        <v>242</v>
      </c>
    </row>
    <row r="10" customFormat="false" ht="23.85" hidden="false" customHeight="false" outlineLevel="0" collapsed="false">
      <c r="A10" s="6" t="s">
        <v>131</v>
      </c>
      <c r="B10" s="6" t="n">
        <f aca="false">COUNTIF('Weekly Schedule'!D:D,A10)</f>
        <v>4</v>
      </c>
      <c r="C10" s="6" t="n">
        <f aca="false">SUMIF('Weekly Schedule'!D:D,A10,'Weekly Schedule'!F:F)</f>
        <v>41</v>
      </c>
      <c r="D10" s="6" t="s">
        <v>243</v>
      </c>
      <c r="E10" s="6" t="s">
        <v>244</v>
      </c>
    </row>
    <row r="11" customFormat="false" ht="23.85" hidden="false" customHeight="false" outlineLevel="0" collapsed="false">
      <c r="A11" s="6" t="s">
        <v>146</v>
      </c>
      <c r="B11" s="6" t="n">
        <f aca="false">COUNTIF('Weekly Schedule'!D:D,A11)</f>
        <v>2</v>
      </c>
      <c r="C11" s="6" t="n">
        <f aca="false">SUMIF('Weekly Schedule'!D:D,A11,'Weekly Schedule'!F:F)</f>
        <v>20</v>
      </c>
      <c r="D11" s="6" t="s">
        <v>245</v>
      </c>
      <c r="E11" s="6" t="s">
        <v>246</v>
      </c>
    </row>
    <row r="12" customFormat="false" ht="15" hidden="false" customHeight="false" outlineLevel="0" collapsed="false">
      <c r="A12" s="6" t="s">
        <v>153</v>
      </c>
      <c r="B12" s="6" t="n">
        <f aca="false">COUNTIF('Weekly Schedule'!D:D,A12)</f>
        <v>2</v>
      </c>
      <c r="C12" s="6" t="n">
        <f aca="false">SUMIF('Weekly Schedule'!D:D,A12,'Weekly Schedule'!F:F)</f>
        <v>23</v>
      </c>
      <c r="D12" s="6" t="s">
        <v>14</v>
      </c>
      <c r="E12" s="6" t="s">
        <v>247</v>
      </c>
    </row>
    <row r="13" customFormat="false" ht="15" hidden="false" customHeight="false" outlineLevel="0" collapsed="false">
      <c r="A13" s="6" t="s">
        <v>163</v>
      </c>
      <c r="B13" s="6" t="n">
        <f aca="false">COUNTIF('Weekly Schedule'!D:D,A13)</f>
        <v>7</v>
      </c>
      <c r="C13" s="6" t="n">
        <f aca="false">SUMIF('Weekly Schedule'!D:D,A13,'Weekly Schedule'!F:F)</f>
        <v>77</v>
      </c>
      <c r="D13" s="6" t="s">
        <v>248</v>
      </c>
      <c r="E13" s="6" t="s">
        <v>249</v>
      </c>
    </row>
    <row r="14" customFormat="false" ht="23.85" hidden="false" customHeight="false" outlineLevel="0" collapsed="false">
      <c r="A14" s="6" t="s">
        <v>189</v>
      </c>
      <c r="B14" s="6" t="n">
        <f aca="false">COUNTIF('Weekly Schedule'!D:D,A14)</f>
        <v>4</v>
      </c>
      <c r="C14" s="6" t="n">
        <f aca="false">SUMIF('Weekly Schedule'!D:D,A14,'Weekly Schedule'!F:F)</f>
        <v>40</v>
      </c>
      <c r="D14" s="6" t="s">
        <v>250</v>
      </c>
      <c r="E14" s="6" t="s">
        <v>251</v>
      </c>
    </row>
    <row r="15" customFormat="false" ht="15" hidden="false" customHeight="false" outlineLevel="0" collapsed="false">
      <c r="A15" s="6" t="s">
        <v>205</v>
      </c>
      <c r="B15" s="6" t="n">
        <f aca="false">COUNTIF('Weekly Schedule'!D:D,A15)</f>
        <v>7</v>
      </c>
      <c r="C15" s="6" t="n">
        <f aca="false">SUMIF('Weekly Schedule'!D:D,A15,'Weekly Schedule'!F:F)</f>
        <v>68</v>
      </c>
      <c r="D15" s="6" t="s">
        <v>14</v>
      </c>
      <c r="E15" s="6" t="s">
        <v>252</v>
      </c>
    </row>
    <row r="16" customFormat="false" ht="15" hidden="false" customHeight="false" outlineLevel="0" collapsed="false">
      <c r="A16" s="7" t="s">
        <v>253</v>
      </c>
      <c r="B16" s="7" t="n">
        <f aca="false">SUM(B2:B15)</f>
        <v>60</v>
      </c>
      <c r="C16" s="7" t="n">
        <f aca="false">SUM(C2:C15)</f>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34"/>
    <col collapsed="false" customWidth="true" hidden="false" outlineLevel="0" max="4" min="4" style="0" width="18"/>
    <col collapsed="false" customWidth="true" hidden="false" outlineLevel="0" max="5" min="5" style="0" width="46"/>
    <col collapsed="false" customWidth="true" hidden="false" outlineLevel="0" max="6" min="6" style="0" width="30"/>
  </cols>
  <sheetData>
    <row r="1" customFormat="false" ht="30" hidden="false" customHeight="true" outlineLevel="0" collapsed="false">
      <c r="A1" s="1" t="s">
        <v>254</v>
      </c>
      <c r="B1" s="1" t="s">
        <v>3</v>
      </c>
      <c r="C1" s="1" t="s">
        <v>255</v>
      </c>
      <c r="D1" s="1" t="s">
        <v>256</v>
      </c>
      <c r="E1" s="1" t="s">
        <v>257</v>
      </c>
      <c r="F1" s="1" t="s">
        <v>258</v>
      </c>
    </row>
    <row r="2" customFormat="false" ht="79.85" hidden="false" customHeight="false" outlineLevel="0" collapsed="false">
      <c r="A2" s="2" t="s">
        <v>259</v>
      </c>
      <c r="B2" s="2" t="s">
        <v>74</v>
      </c>
      <c r="C2" s="2" t="s">
        <v>260</v>
      </c>
      <c r="D2" s="2" t="s">
        <v>261</v>
      </c>
      <c r="E2" s="2" t="s">
        <v>262</v>
      </c>
      <c r="F2" s="2" t="s">
        <v>263</v>
      </c>
    </row>
    <row r="3" customFormat="false" ht="91" hidden="false" customHeight="false" outlineLevel="0" collapsed="false">
      <c r="A3" s="2" t="s">
        <v>264</v>
      </c>
      <c r="B3" s="2" t="s">
        <v>163</v>
      </c>
      <c r="C3" s="2" t="s">
        <v>265</v>
      </c>
      <c r="D3" s="2" t="s">
        <v>266</v>
      </c>
      <c r="E3" s="2" t="s">
        <v>267</v>
      </c>
      <c r="F3" s="2" t="s">
        <v>263</v>
      </c>
    </row>
    <row r="5" customFormat="false" ht="60" hidden="false" customHeight="true" outlineLevel="0" collapsed="false">
      <c r="A5" s="8" t="s">
        <v>268</v>
      </c>
      <c r="B5" s="8"/>
      <c r="C5" s="8"/>
      <c r="D5" s="8"/>
      <c r="E5" s="8"/>
      <c r="F5" s="8"/>
    </row>
  </sheetData>
  <mergeCells count="1">
    <mergeCell ref="A5: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2026-07-14T19:05:04Z</dcterms:created>
  <dc:creator>openpyxl</dc:creator>
  <dc:description/>
  <dc:language>en-US</dc:language>
  <cp:lastModifiedBy/>
  <dcterms:modified xsi:type="dcterms:W3CDTF">2026-07-14T19:05:04Z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